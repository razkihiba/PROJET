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Brutes" sheetId="1" state="visible" r:id="rId1"/>
    <sheet xmlns:r="http://schemas.openxmlformats.org/officeDocument/2006/relationships" name="Dictionnaire Variables" sheetId="2" state="visible" r:id="rId2"/>
    <sheet xmlns:r="http://schemas.openxmlformats.org/officeDocument/2006/relationships" name="Grille de Scoring" sheetId="3" state="visible" r:id="rId3"/>
    <sheet xmlns:r="http://schemas.openxmlformats.org/officeDocument/2006/relationships" name="Résumé Statist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375623"/>
      <sz val="9"/>
    </font>
    <font>
      <name val="Arial"/>
      <b val="1"/>
      <color rgb="007D5A00"/>
      <sz val="9"/>
    </font>
    <font>
      <name val="Arial"/>
      <b val="1"/>
      <color rgb="007D2100"/>
      <sz val="9"/>
    </font>
    <font>
      <name val="Arial"/>
      <b val="1"/>
      <color rgb="007D0000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4E79"/>
      <sz val="9"/>
    </font>
    <font>
      <name val="Arial"/>
      <b val="1"/>
      <sz val="10"/>
    </font>
    <font>
      <name val="Arial"/>
      <b val="1"/>
      <color rgb="00375623"/>
      <sz val="10"/>
    </font>
    <font>
      <name val="Arial"/>
      <color rgb="00375623"/>
      <sz val="14"/>
    </font>
    <font>
      <name val="Arial"/>
      <b val="1"/>
      <color rgb="007D5A00"/>
      <sz val="10"/>
    </font>
    <font>
      <name val="Arial"/>
      <color rgb="007D5A00"/>
      <sz val="14"/>
    </font>
    <font>
      <name val="Arial"/>
      <b val="1"/>
      <color rgb="007D2100"/>
      <sz val="10"/>
    </font>
    <font>
      <name val="Arial"/>
      <color rgb="007D2100"/>
      <sz val="14"/>
    </font>
    <font>
      <name val="Arial"/>
      <b val="1"/>
      <color rgb="007D0000"/>
      <sz val="10"/>
    </font>
    <font>
      <name val="Arial"/>
      <color rgb="007D0000"/>
      <sz val="14"/>
    </font>
    <font>
      <name val="Arial"/>
      <b val="1"/>
      <color rgb="00FFFFFF"/>
    </font>
    <font>
      <name val="Arial"/>
      <b val="1"/>
      <color rgb="001F4E79"/>
      <sz val="10"/>
    </font>
    <font>
      <name val="Arial"/>
      <i val="1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00B050"/>
      </patternFill>
    </fill>
    <fill>
      <patternFill patternType="solid">
        <fgColor rgb="00A9D08E"/>
      </patternFill>
    </fill>
    <fill>
      <patternFill patternType="solid">
        <fgColor rgb="00FFFFFF"/>
      </patternFill>
    </fill>
    <fill>
      <patternFill patternType="solid">
        <fgColor rgb="0000B0F0"/>
      </patternFill>
    </fill>
    <fill>
      <patternFill patternType="solid">
        <fgColor rgb="00C6EFCE"/>
      </patternFill>
    </fill>
    <fill>
      <patternFill patternType="solid">
        <fgColor rgb="00FFBF00"/>
      </patternFill>
    </fill>
    <fill>
      <patternFill patternType="solid">
        <fgColor rgb="00FFEB9C"/>
      </patternFill>
    </fill>
    <fill>
      <patternFill patternType="solid">
        <fgColor rgb="00FF6600"/>
      </patternFill>
    </fill>
    <fill>
      <patternFill patternType="solid">
        <fgColor rgb="00F4B942"/>
      </patternFill>
    </fill>
    <fill>
      <patternFill patternType="solid">
        <fgColor rgb="00FF0000"/>
      </patternFill>
    </fill>
    <fill>
      <patternFill patternType="solid">
        <fgColor rgb="00FF6B6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center"/>
    </xf>
    <xf numFmtId="0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right" vertical="center"/>
    </xf>
    <xf numFmtId="0" fontId="8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right" vertical="center"/>
    </xf>
    <xf numFmtId="0" fontId="9" fillId="15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4" fontId="0" fillId="0" borderId="2" pivotButton="0" quotePrefix="0" xfId="0"/>
    <xf numFmtId="0" fontId="15" fillId="9" borderId="2" pivotButton="0" quotePrefix="0" xfId="0"/>
    <xf numFmtId="0" fontId="14" fillId="6" borderId="2" applyAlignment="1" pivotButton="0" quotePrefix="0" xfId="0">
      <alignment horizontal="center" vertical="center"/>
    </xf>
    <xf numFmtId="0" fontId="15" fillId="6" borderId="2" pivotButton="0" quotePrefix="0" xfId="0"/>
    <xf numFmtId="0" fontId="16" fillId="11" borderId="2" applyAlignment="1" pivotButton="0" quotePrefix="0" xfId="0">
      <alignment horizontal="center" vertical="center"/>
    </xf>
    <xf numFmtId="0" fontId="17" fillId="11" borderId="2" pivotButton="0" quotePrefix="0" xfId="0"/>
    <xf numFmtId="0" fontId="18" fillId="13" borderId="2" applyAlignment="1" pivotButton="0" quotePrefix="0" xfId="0">
      <alignment horizontal="center" vertical="center"/>
    </xf>
    <xf numFmtId="0" fontId="19" fillId="13" borderId="2" pivotButton="0" quotePrefix="0" xfId="0"/>
    <xf numFmtId="0" fontId="20" fillId="15" borderId="2" applyAlignment="1" pivotButton="0" quotePrefix="0" xfId="0">
      <alignment horizontal="center" vertical="center"/>
    </xf>
    <xf numFmtId="0" fontId="21" fillId="15" borderId="2" pivotButton="0" quotePrefix="0" xfId="0"/>
    <xf numFmtId="0" fontId="5" fillId="2" borderId="2" applyAlignment="1" pivotButton="0" quotePrefix="0" xfId="0">
      <alignment horizontal="center"/>
    </xf>
    <xf numFmtId="0" fontId="22" fillId="2" borderId="2" pivotButton="0" quotePrefix="0" xfId="0"/>
    <xf numFmtId="0" fontId="0" fillId="0" borderId="2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14" customWidth="1" min="4" max="4"/>
    <col width="13" customWidth="1" min="5" max="5"/>
    <col width="16" customWidth="1" min="6" max="6"/>
    <col width="10" customWidth="1" min="7" max="7"/>
    <col width="16" customWidth="1" min="8" max="8"/>
    <col width="14" customWidth="1" min="9" max="9"/>
    <col width="30" customWidth="1" min="10" max="10"/>
    <col width="10" customWidth="1" min="11" max="11"/>
    <col width="12" customWidth="1" min="12" max="12"/>
    <col width="14" customWidth="1" min="13" max="13"/>
    <col width="8" customWidth="1" min="14" max="14"/>
    <col width="12" customWidth="1" min="15" max="15"/>
    <col width="13" customWidth="1" min="16" max="16"/>
    <col width="11" customWidth="1" min="17" max="17"/>
    <col width="13" customWidth="1" min="18" max="18"/>
    <col width="12" customWidth="1" min="19" max="19"/>
    <col width="14" customWidth="1" min="20" max="20"/>
    <col width="28" customWidth="1" min="21" max="21"/>
    <col width="22" customWidth="1" min="22" max="22"/>
  </cols>
  <sheetData>
    <row r="1" ht="30" customHeight="1">
      <c r="A1" s="1" t="inlineStr">
        <is>
          <t>EXTRACTION DE DONNÉES – CLASSIFICATION DU RISQUE DE DILUTION ACTIONNARIALE – BOURSE DE CASABLANCA (BVC / AMMC)</t>
        </is>
      </c>
    </row>
    <row r="2" ht="20" customHeight="1">
      <c r="A2" s="2" t="inlineStr">
        <is>
          <t>Sources : BVC – Bulletins de la Cote, Publications des Émetteurs, Capitalisations Boursières | AMMC – Notes d'Opération, Prospectus (2022-2025) | Période de référence : exercices 2022-2024</t>
        </is>
      </c>
    </row>
    <row r="3" ht="38" customHeight="1">
      <c r="A3" s="3" t="inlineStr">
        <is>
          <t>Société</t>
        </is>
      </c>
      <c r="B3" s="3" t="inlineStr">
        <is>
          <t>Secteur</t>
        </is>
      </c>
      <c r="C3" s="3" t="inlineStr">
        <is>
          <t>Ticker</t>
        </is>
      </c>
      <c r="D3" s="3" t="inlineStr">
        <is>
          <t>Marché</t>
        </is>
      </c>
      <c r="E3" s="3" t="inlineStr">
        <is>
          <t>Nb Actions (M)</t>
        </is>
      </c>
      <c r="F3" s="3" t="inlineStr">
        <is>
          <t>Cap. Boursière (MMdh)</t>
        </is>
      </c>
      <c r="G3" s="3" t="inlineStr">
        <is>
          <t>Flottant (%)</t>
        </is>
      </c>
      <c r="H3" s="3" t="inlineStr">
        <is>
          <t>Nb Aug. Capital (3 ans)</t>
        </is>
      </c>
      <c r="I3" s="3" t="inlineStr">
        <is>
          <t>Dilution Cumulée (%)</t>
        </is>
      </c>
      <c r="J3" s="3" t="inlineStr">
        <is>
          <t>Type Dernière Opération</t>
        </is>
      </c>
      <c r="K3" s="3" t="inlineStr">
        <is>
          <t>Gearing (%)</t>
        </is>
      </c>
      <c r="L3" s="3" t="inlineStr">
        <is>
          <t>Couverture FP (x)</t>
        </is>
      </c>
      <c r="M3" s="3" t="inlineStr">
        <is>
          <t>Prime d'Émission (%)</t>
        </is>
      </c>
      <c r="N3" s="3" t="inlineStr">
        <is>
          <t>BPA (dh)</t>
        </is>
      </c>
      <c r="O3" s="3" t="inlineStr">
        <is>
          <t>Variation BPA (%)</t>
        </is>
      </c>
      <c r="P3" s="3" t="inlineStr">
        <is>
          <t>Programme Rachat</t>
        </is>
      </c>
      <c r="Q3" s="3" t="inlineStr">
        <is>
          <t>Stock-Options</t>
        </is>
      </c>
      <c r="R3" s="3" t="inlineStr">
        <is>
          <t>% Actionnaire Réf.</t>
        </is>
      </c>
      <c r="S3" s="3" t="inlineStr">
        <is>
          <t>Score Risque (1-5)</t>
        </is>
      </c>
      <c r="T3" s="3" t="inlineStr">
        <is>
          <t>Niveau Risque</t>
        </is>
      </c>
      <c r="U3" s="3" t="inlineStr">
        <is>
          <t>Source BVC</t>
        </is>
      </c>
      <c r="V3" s="3" t="inlineStr">
        <is>
          <t>Référence AMMC</t>
        </is>
      </c>
    </row>
    <row r="4" ht="18" customHeight="1">
      <c r="A4" s="4" t="inlineStr">
        <is>
          <t>Attijariwafa Bank</t>
        </is>
      </c>
      <c r="B4" s="4" t="inlineStr">
        <is>
          <t>Banques</t>
        </is>
      </c>
      <c r="C4" s="4" t="inlineStr">
        <is>
          <t>ATW</t>
        </is>
      </c>
      <c r="D4" s="4" t="inlineStr">
        <is>
          <t>Principal</t>
        </is>
      </c>
      <c r="E4" s="5" t="n">
        <v>214.2</v>
      </c>
      <c r="F4" s="5" t="n">
        <v>155.1</v>
      </c>
      <c r="G4" s="5" t="n">
        <v>25.3</v>
      </c>
      <c r="H4" s="5" t="n">
        <v>1</v>
      </c>
      <c r="I4" s="5" t="n">
        <v>5.8</v>
      </c>
      <c r="J4" s="6" t="inlineStr">
        <is>
          <t>Augm. capital réservée salariés</t>
        </is>
      </c>
      <c r="K4" s="5" t="n">
        <v>68</v>
      </c>
      <c r="L4" s="5" t="n">
        <v>1.52</v>
      </c>
      <c r="M4" s="5" t="n">
        <v>12.5</v>
      </c>
      <c r="N4" s="5" t="n">
        <v>28.3</v>
      </c>
      <c r="O4" s="5" t="n">
        <v>4.2</v>
      </c>
      <c r="P4" s="5" t="inlineStr">
        <is>
          <t>Oui</t>
        </is>
      </c>
      <c r="Q4" s="5" t="inlineStr">
        <is>
          <t>Non</t>
        </is>
      </c>
      <c r="R4" s="5" t="n">
        <v>55.1</v>
      </c>
      <c r="S4" s="7" t="n">
        <v>2</v>
      </c>
      <c r="T4" s="8" t="inlineStr">
        <is>
          <t>FAIBLE</t>
        </is>
      </c>
      <c r="U4" s="6" t="inlineStr">
        <is>
          <t>Bulletin Cote BVC 2024</t>
        </is>
      </c>
      <c r="V4" s="6" t="inlineStr">
        <is>
          <t>EN/EM/031/2023</t>
        </is>
      </c>
    </row>
    <row r="5" ht="18" customHeight="1">
      <c r="A5" s="9" t="inlineStr">
        <is>
          <t>BCP</t>
        </is>
      </c>
      <c r="B5" s="9" t="inlineStr">
        <is>
          <t>Banques</t>
        </is>
      </c>
      <c r="C5" s="9" t="inlineStr">
        <is>
          <t>BCP</t>
        </is>
      </c>
      <c r="D5" s="9" t="inlineStr">
        <is>
          <t>Principal</t>
        </is>
      </c>
      <c r="E5" s="10" t="n">
        <v>219.4</v>
      </c>
      <c r="F5" s="10" t="n">
        <v>62.5</v>
      </c>
      <c r="G5" s="10" t="n">
        <v>27</v>
      </c>
      <c r="H5" s="10" t="n">
        <v>1</v>
      </c>
      <c r="I5" s="10" t="n">
        <v>4.2</v>
      </c>
      <c r="J5" s="11" t="inlineStr">
        <is>
          <t>Augm. capital numéraire</t>
        </is>
      </c>
      <c r="K5" s="10" t="n">
        <v>74</v>
      </c>
      <c r="L5" s="10" t="n">
        <v>1.41</v>
      </c>
      <c r="M5" s="10" t="n">
        <v>8.300000000000001</v>
      </c>
      <c r="N5" s="10" t="n">
        <v>10.8</v>
      </c>
      <c r="O5" s="10" t="n">
        <v>-1.5</v>
      </c>
      <c r="P5" s="10" t="inlineStr">
        <is>
          <t>Oui</t>
        </is>
      </c>
      <c r="Q5" s="10" t="inlineStr">
        <is>
          <t>Non</t>
        </is>
      </c>
      <c r="R5" s="10" t="n">
        <v>52.3</v>
      </c>
      <c r="S5" s="7" t="n">
        <v>2</v>
      </c>
      <c r="T5" s="8" t="inlineStr">
        <is>
          <t>FAIBLE</t>
        </is>
      </c>
      <c r="U5" s="11" t="inlineStr">
        <is>
          <t>Bulletin Cote BVC 2024</t>
        </is>
      </c>
      <c r="V5" s="11" t="inlineStr">
        <is>
          <t>EN/EM/012/2024</t>
        </is>
      </c>
    </row>
    <row r="6" ht="18" customHeight="1">
      <c r="A6" s="4" t="inlineStr">
        <is>
          <t>BMCE Bank of Africa</t>
        </is>
      </c>
      <c r="B6" s="4" t="inlineStr">
        <is>
          <t>Banques</t>
        </is>
      </c>
      <c r="C6" s="4" t="inlineStr">
        <is>
          <t>BOA</t>
        </is>
      </c>
      <c r="D6" s="4" t="inlineStr">
        <is>
          <t>Principal</t>
        </is>
      </c>
      <c r="E6" s="5" t="n">
        <v>217.6</v>
      </c>
      <c r="F6" s="5" t="n">
        <v>50.4</v>
      </c>
      <c r="G6" s="5" t="n">
        <v>22.1</v>
      </c>
      <c r="H6" s="5" t="n">
        <v>0</v>
      </c>
      <c r="I6" s="5" t="n">
        <v>0</v>
      </c>
      <c r="J6" s="6" t="inlineStr">
        <is>
          <t>Néant</t>
        </is>
      </c>
      <c r="K6" s="5" t="n">
        <v>82</v>
      </c>
      <c r="L6" s="5" t="n">
        <v>1.28</v>
      </c>
      <c r="M6" s="5" t="n">
        <v>0</v>
      </c>
      <c r="N6" s="5" t="n">
        <v>9.6</v>
      </c>
      <c r="O6" s="5" t="n">
        <v>2.1</v>
      </c>
      <c r="P6" s="5" t="inlineStr">
        <is>
          <t>Non</t>
        </is>
      </c>
      <c r="Q6" s="5" t="inlineStr">
        <is>
          <t>Non</t>
        </is>
      </c>
      <c r="R6" s="5" t="n">
        <v>48.7</v>
      </c>
      <c r="S6" s="12" t="n">
        <v>1</v>
      </c>
      <c r="T6" s="13" t="inlineStr">
        <is>
          <t>TRÈS FAIBLE</t>
        </is>
      </c>
      <c r="U6" s="6" t="inlineStr">
        <is>
          <t>Bulletin Cote BVC 2024</t>
        </is>
      </c>
      <c r="V6" s="6" t="inlineStr">
        <is>
          <t>—</t>
        </is>
      </c>
    </row>
    <row r="7" ht="18" customHeight="1">
      <c r="A7" s="9" t="inlineStr">
        <is>
          <t>BMCI</t>
        </is>
      </c>
      <c r="B7" s="9" t="inlineStr">
        <is>
          <t>Banques</t>
        </is>
      </c>
      <c r="C7" s="9" t="inlineStr">
        <is>
          <t>BMCI</t>
        </is>
      </c>
      <c r="D7" s="9" t="inlineStr">
        <is>
          <t>Principal</t>
        </is>
      </c>
      <c r="E7" s="10" t="n">
        <v>22.1</v>
      </c>
      <c r="F7" s="10" t="n">
        <v>14.2</v>
      </c>
      <c r="G7" s="10" t="n">
        <v>33.5</v>
      </c>
      <c r="H7" s="10" t="n">
        <v>0</v>
      </c>
      <c r="I7" s="10" t="n">
        <v>0</v>
      </c>
      <c r="J7" s="11" t="inlineStr">
        <is>
          <t>Néant</t>
        </is>
      </c>
      <c r="K7" s="10" t="n">
        <v>71</v>
      </c>
      <c r="L7" s="10" t="n">
        <v>1.49</v>
      </c>
      <c r="M7" s="10" t="n">
        <v>0</v>
      </c>
      <c r="N7" s="10" t="n">
        <v>18.3</v>
      </c>
      <c r="O7" s="10" t="n">
        <v>5.6</v>
      </c>
      <c r="P7" s="10" t="inlineStr">
        <is>
          <t>Non</t>
        </is>
      </c>
      <c r="Q7" s="10" t="inlineStr">
        <is>
          <t>Non</t>
        </is>
      </c>
      <c r="R7" s="10" t="n">
        <v>50.2</v>
      </c>
      <c r="S7" s="12" t="n">
        <v>1</v>
      </c>
      <c r="T7" s="13" t="inlineStr">
        <is>
          <t>TRÈS FAIBLE</t>
        </is>
      </c>
      <c r="U7" s="11" t="inlineStr">
        <is>
          <t>Bulletin Cote BVC 2024</t>
        </is>
      </c>
      <c r="V7" s="11" t="inlineStr">
        <is>
          <t>—</t>
        </is>
      </c>
    </row>
    <row r="8" ht="18" customHeight="1">
      <c r="A8" s="4" t="inlineStr">
        <is>
          <t>CIH Bank</t>
        </is>
      </c>
      <c r="B8" s="4" t="inlineStr">
        <is>
          <t>Banques</t>
        </is>
      </c>
      <c r="C8" s="4" t="inlineStr">
        <is>
          <t>CIH</t>
        </is>
      </c>
      <c r="D8" s="4" t="inlineStr">
        <is>
          <t>Principal</t>
        </is>
      </c>
      <c r="E8" s="5" t="n">
        <v>26.2</v>
      </c>
      <c r="F8" s="5" t="n">
        <v>8.300000000000001</v>
      </c>
      <c r="G8" s="5" t="n">
        <v>30.1</v>
      </c>
      <c r="H8" s="5" t="n">
        <v>1</v>
      </c>
      <c r="I8" s="5" t="n">
        <v>8.1</v>
      </c>
      <c r="J8" s="6" t="inlineStr">
        <is>
          <t>Augm. capital numéraire public</t>
        </is>
      </c>
      <c r="K8" s="5" t="n">
        <v>65</v>
      </c>
      <c r="L8" s="5" t="n">
        <v>1.61</v>
      </c>
      <c r="M8" s="5" t="n">
        <v>15</v>
      </c>
      <c r="N8" s="5" t="n">
        <v>14.2</v>
      </c>
      <c r="O8" s="5" t="n">
        <v>3.8</v>
      </c>
      <c r="P8" s="5" t="inlineStr">
        <is>
          <t>Non</t>
        </is>
      </c>
      <c r="Q8" s="5" t="inlineStr">
        <is>
          <t>Non</t>
        </is>
      </c>
      <c r="R8" s="5" t="n">
        <v>43.2</v>
      </c>
      <c r="S8" s="14" t="n">
        <v>3</v>
      </c>
      <c r="T8" s="15" t="inlineStr">
        <is>
          <t>MODÉRÉ</t>
        </is>
      </c>
      <c r="U8" s="6" t="inlineStr">
        <is>
          <t>Bulletin Cote BVC 2024</t>
        </is>
      </c>
      <c r="V8" s="6" t="inlineStr">
        <is>
          <t>VI/EM/014/2023</t>
        </is>
      </c>
    </row>
    <row r="9" ht="18" customHeight="1">
      <c r="A9" s="9" t="inlineStr">
        <is>
          <t>CDM</t>
        </is>
      </c>
      <c r="B9" s="9" t="inlineStr">
        <is>
          <t>Banques</t>
        </is>
      </c>
      <c r="C9" s="9" t="inlineStr">
        <is>
          <t>CDM</t>
        </is>
      </c>
      <c r="D9" s="9" t="inlineStr">
        <is>
          <t>Principal</t>
        </is>
      </c>
      <c r="E9" s="10" t="n">
        <v>11.1</v>
      </c>
      <c r="F9" s="10" t="n">
        <v>7.1</v>
      </c>
      <c r="G9" s="10" t="n">
        <v>28.4</v>
      </c>
      <c r="H9" s="10" t="n">
        <v>0</v>
      </c>
      <c r="I9" s="10" t="n">
        <v>0</v>
      </c>
      <c r="J9" s="11" t="inlineStr">
        <is>
          <t>Néant</t>
        </is>
      </c>
      <c r="K9" s="10" t="n">
        <v>79</v>
      </c>
      <c r="L9" s="10" t="n">
        <v>1.34</v>
      </c>
      <c r="M9" s="10" t="n">
        <v>0</v>
      </c>
      <c r="N9" s="10" t="n">
        <v>8.9</v>
      </c>
      <c r="O9" s="10" t="n">
        <v>1.2</v>
      </c>
      <c r="P9" s="10" t="inlineStr">
        <is>
          <t>Non</t>
        </is>
      </c>
      <c r="Q9" s="10" t="inlineStr">
        <is>
          <t>Non</t>
        </is>
      </c>
      <c r="R9" s="10" t="n">
        <v>55.8</v>
      </c>
      <c r="S9" s="12" t="n">
        <v>1</v>
      </c>
      <c r="T9" s="13" t="inlineStr">
        <is>
          <t>TRÈS FAIBLE</t>
        </is>
      </c>
      <c r="U9" s="11" t="inlineStr">
        <is>
          <t>Bulletin Cote BVC 2024</t>
        </is>
      </c>
      <c r="V9" s="11" t="inlineStr">
        <is>
          <t>—</t>
        </is>
      </c>
    </row>
    <row r="10" ht="18" customHeight="1">
      <c r="A10" s="4" t="inlineStr">
        <is>
          <t>Maroc Telecom</t>
        </is>
      </c>
      <c r="B10" s="4" t="inlineStr">
        <is>
          <t>Télécoms</t>
        </is>
      </c>
      <c r="C10" s="4" t="inlineStr">
        <is>
          <t>IAM</t>
        </is>
      </c>
      <c r="D10" s="4" t="inlineStr">
        <is>
          <t>Principal</t>
        </is>
      </c>
      <c r="E10" s="5" t="n">
        <v>879.1</v>
      </c>
      <c r="F10" s="5" t="n">
        <v>87.5</v>
      </c>
      <c r="G10" s="5" t="n">
        <v>30</v>
      </c>
      <c r="H10" s="5" t="n">
        <v>0</v>
      </c>
      <c r="I10" s="5" t="n">
        <v>0</v>
      </c>
      <c r="J10" s="6" t="inlineStr">
        <is>
          <t>Néant</t>
        </is>
      </c>
      <c r="K10" s="5" t="n">
        <v>45</v>
      </c>
      <c r="L10" s="5" t="n">
        <v>2.22</v>
      </c>
      <c r="M10" s="5" t="n">
        <v>0</v>
      </c>
      <c r="N10" s="5" t="n">
        <v>6.8</v>
      </c>
      <c r="O10" s="5" t="n">
        <v>-2.3</v>
      </c>
      <c r="P10" s="5" t="inlineStr">
        <is>
          <t>Oui</t>
        </is>
      </c>
      <c r="Q10" s="5" t="inlineStr">
        <is>
          <t>Non</t>
        </is>
      </c>
      <c r="R10" s="5" t="n">
        <v>53</v>
      </c>
      <c r="S10" s="12" t="n">
        <v>1</v>
      </c>
      <c r="T10" s="13" t="inlineStr">
        <is>
          <t>TRÈS FAIBLE</t>
        </is>
      </c>
      <c r="U10" s="6" t="inlineStr">
        <is>
          <t>Capitalisations BVC 12/2024</t>
        </is>
      </c>
      <c r="V10" s="6" t="inlineStr">
        <is>
          <t>—</t>
        </is>
      </c>
    </row>
    <row r="11" ht="18" customHeight="1">
      <c r="A11" s="9" t="inlineStr">
        <is>
          <t>Maroc Leasing</t>
        </is>
      </c>
      <c r="B11" s="9" t="inlineStr">
        <is>
          <t>Financier</t>
        </is>
      </c>
      <c r="C11" s="9" t="inlineStr">
        <is>
          <t>MAL</t>
        </is>
      </c>
      <c r="D11" s="9" t="inlineStr">
        <is>
          <t>Développement</t>
        </is>
      </c>
      <c r="E11" s="10" t="n">
        <v>3.5</v>
      </c>
      <c r="F11" s="10" t="n">
        <v>1.2</v>
      </c>
      <c r="G11" s="10" t="n">
        <v>20</v>
      </c>
      <c r="H11" s="10" t="n">
        <v>1</v>
      </c>
      <c r="I11" s="10" t="n">
        <v>11.4</v>
      </c>
      <c r="J11" s="11" t="inlineStr">
        <is>
          <t>Augm. capital réservée</t>
        </is>
      </c>
      <c r="K11" s="10" t="n">
        <v>88</v>
      </c>
      <c r="L11" s="10" t="n">
        <v>1.14</v>
      </c>
      <c r="M11" s="10" t="n">
        <v>20</v>
      </c>
      <c r="N11" s="10" t="n">
        <v>15.1</v>
      </c>
      <c r="O11" s="10" t="n">
        <v>-8.199999999999999</v>
      </c>
      <c r="P11" s="10" t="inlineStr">
        <is>
          <t>Non</t>
        </is>
      </c>
      <c r="Q11" s="10" t="inlineStr">
        <is>
          <t>Non</t>
        </is>
      </c>
      <c r="R11" s="10" t="n">
        <v>62</v>
      </c>
      <c r="S11" s="16" t="n">
        <v>4</v>
      </c>
      <c r="T11" s="17" t="inlineStr">
        <is>
          <t>ÉLEVÉ</t>
        </is>
      </c>
      <c r="U11" s="11" t="inlineStr">
        <is>
          <t>Bulletin Cote BVC 2024</t>
        </is>
      </c>
      <c r="V11" s="11" t="inlineStr">
        <is>
          <t>VI/EM/007/2024</t>
        </is>
      </c>
    </row>
    <row r="12" ht="18" customHeight="1">
      <c r="A12" s="4" t="inlineStr">
        <is>
          <t>Akdital</t>
        </is>
      </c>
      <c r="B12" s="4" t="inlineStr">
        <is>
          <t>Santé</t>
        </is>
      </c>
      <c r="C12" s="4" t="inlineStr">
        <is>
          <t>AKDITAL</t>
        </is>
      </c>
      <c r="D12" s="4" t="inlineStr">
        <is>
          <t>Principal</t>
        </is>
      </c>
      <c r="E12" s="5" t="n">
        <v>8.1</v>
      </c>
      <c r="F12" s="5" t="n">
        <v>10.2</v>
      </c>
      <c r="G12" s="5" t="n">
        <v>35</v>
      </c>
      <c r="H12" s="5" t="n">
        <v>1</v>
      </c>
      <c r="I12" s="5" t="n">
        <v>22.6</v>
      </c>
      <c r="J12" s="6" t="inlineStr">
        <is>
          <t>Augm. capital public (Asclepios)</t>
        </is>
      </c>
      <c r="K12" s="5" t="n">
        <v>55</v>
      </c>
      <c r="L12" s="5" t="n">
        <v>1.82</v>
      </c>
      <c r="M12" s="5" t="n">
        <v>18.5</v>
      </c>
      <c r="N12" s="5" t="n">
        <v>12.4</v>
      </c>
      <c r="O12" s="5" t="n">
        <v>28</v>
      </c>
      <c r="P12" s="5" t="inlineStr">
        <is>
          <t>Non</t>
        </is>
      </c>
      <c r="Q12" s="5" t="inlineStr">
        <is>
          <t>Oui</t>
        </is>
      </c>
      <c r="R12" s="5" t="n">
        <v>38.5</v>
      </c>
      <c r="S12" s="16" t="n">
        <v>4</v>
      </c>
      <c r="T12" s="17" t="inlineStr">
        <is>
          <t>ÉLEVÉ</t>
        </is>
      </c>
      <c r="U12" s="6" t="inlineStr">
        <is>
          <t>BVC Publications émetteurs 2024</t>
        </is>
      </c>
      <c r="V12" s="6" t="inlineStr">
        <is>
          <t>VI/EM/019/2024</t>
        </is>
      </c>
    </row>
    <row r="13" ht="18" customHeight="1">
      <c r="A13" s="9" t="inlineStr">
        <is>
          <t>Lafarge Holcim Maroc</t>
        </is>
      </c>
      <c r="B13" s="9" t="inlineStr">
        <is>
          <t>Matériaux</t>
        </is>
      </c>
      <c r="C13" s="9" t="inlineStr">
        <is>
          <t>LHM</t>
        </is>
      </c>
      <c r="D13" s="9" t="inlineStr">
        <is>
          <t>Principal</t>
        </is>
      </c>
      <c r="E13" s="10" t="n">
        <v>23.4</v>
      </c>
      <c r="F13" s="10" t="n">
        <v>30.1</v>
      </c>
      <c r="G13" s="10" t="n">
        <v>27</v>
      </c>
      <c r="H13" s="10" t="n">
        <v>0</v>
      </c>
      <c r="I13" s="10" t="n">
        <v>0</v>
      </c>
      <c r="J13" s="11" t="inlineStr">
        <is>
          <t>Néant</t>
        </is>
      </c>
      <c r="K13" s="10" t="n">
        <v>22</v>
      </c>
      <c r="L13" s="10" t="n">
        <v>4.55</v>
      </c>
      <c r="M13" s="10" t="n">
        <v>0</v>
      </c>
      <c r="N13" s="10" t="n">
        <v>98.5</v>
      </c>
      <c r="O13" s="10" t="n">
        <v>6.3</v>
      </c>
      <c r="P13" s="10" t="inlineStr">
        <is>
          <t>Oui</t>
        </is>
      </c>
      <c r="Q13" s="10" t="inlineStr">
        <is>
          <t>Non</t>
        </is>
      </c>
      <c r="R13" s="10" t="n">
        <v>72.8</v>
      </c>
      <c r="S13" s="12" t="n">
        <v>1</v>
      </c>
      <c r="T13" s="13" t="inlineStr">
        <is>
          <t>TRÈS FAIBLE</t>
        </is>
      </c>
      <c r="U13" s="11" t="inlineStr">
        <is>
          <t>Bulletin Cote BVC 2024</t>
        </is>
      </c>
      <c r="V13" s="11" t="inlineStr">
        <is>
          <t>—</t>
        </is>
      </c>
    </row>
    <row r="14" ht="18" customHeight="1">
      <c r="A14" s="4" t="inlineStr">
        <is>
          <t>Ciments du Maroc</t>
        </is>
      </c>
      <c r="B14" s="4" t="inlineStr">
        <is>
          <t>Matériaux</t>
        </is>
      </c>
      <c r="C14" s="4" t="inlineStr">
        <is>
          <t>CMA</t>
        </is>
      </c>
      <c r="D14" s="4" t="inlineStr">
        <is>
          <t>Principal</t>
        </is>
      </c>
      <c r="E14" s="5" t="n">
        <v>7.5</v>
      </c>
      <c r="F14" s="5" t="n">
        <v>22.4</v>
      </c>
      <c r="G14" s="5" t="n">
        <v>23.1</v>
      </c>
      <c r="H14" s="5" t="n">
        <v>0</v>
      </c>
      <c r="I14" s="5" t="n">
        <v>0</v>
      </c>
      <c r="J14" s="6" t="inlineStr">
        <is>
          <t>Néant</t>
        </is>
      </c>
      <c r="K14" s="5" t="n">
        <v>18</v>
      </c>
      <c r="L14" s="5" t="n">
        <v>5.56</v>
      </c>
      <c r="M14" s="5" t="n">
        <v>0</v>
      </c>
      <c r="N14" s="5" t="n">
        <v>89.2</v>
      </c>
      <c r="O14" s="5" t="n">
        <v>3.1</v>
      </c>
      <c r="P14" s="5" t="inlineStr">
        <is>
          <t>Oui</t>
        </is>
      </c>
      <c r="Q14" s="5" t="inlineStr">
        <is>
          <t>Non</t>
        </is>
      </c>
      <c r="R14" s="5" t="n">
        <v>68.5</v>
      </c>
      <c r="S14" s="12" t="n">
        <v>1</v>
      </c>
      <c r="T14" s="13" t="inlineStr">
        <is>
          <t>TRÈS FAIBLE</t>
        </is>
      </c>
      <c r="U14" s="6" t="inlineStr">
        <is>
          <t>Bulletin Cote BVC 2024</t>
        </is>
      </c>
      <c r="V14" s="6" t="inlineStr">
        <is>
          <t>—</t>
        </is>
      </c>
    </row>
    <row r="15" ht="18" customHeight="1">
      <c r="A15" s="9" t="inlineStr">
        <is>
          <t>Cosumar</t>
        </is>
      </c>
      <c r="B15" s="9" t="inlineStr">
        <is>
          <t>Agroalimentaire</t>
        </is>
      </c>
      <c r="C15" s="9" t="inlineStr">
        <is>
          <t>CSMR</t>
        </is>
      </c>
      <c r="D15" s="9" t="inlineStr">
        <is>
          <t>Principal</t>
        </is>
      </c>
      <c r="E15" s="10" t="n">
        <v>41.5</v>
      </c>
      <c r="F15" s="10" t="n">
        <v>12.8</v>
      </c>
      <c r="G15" s="10" t="n">
        <v>24.3</v>
      </c>
      <c r="H15" s="10" t="n">
        <v>1</v>
      </c>
      <c r="I15" s="10" t="n">
        <v>6.5</v>
      </c>
      <c r="J15" s="11" t="inlineStr">
        <is>
          <t>Augm. capital numéraire</t>
        </is>
      </c>
      <c r="K15" s="10" t="n">
        <v>42</v>
      </c>
      <c r="L15" s="10" t="n">
        <v>2.38</v>
      </c>
      <c r="M15" s="10" t="n">
        <v>10</v>
      </c>
      <c r="N15" s="10" t="n">
        <v>22.4</v>
      </c>
      <c r="O15" s="10" t="n">
        <v>9.5</v>
      </c>
      <c r="P15" s="10" t="inlineStr">
        <is>
          <t>Non</t>
        </is>
      </c>
      <c r="Q15" s="10" t="inlineStr">
        <is>
          <t>Non</t>
        </is>
      </c>
      <c r="R15" s="10" t="n">
        <v>51</v>
      </c>
      <c r="S15" s="7" t="n">
        <v>2</v>
      </c>
      <c r="T15" s="8" t="inlineStr">
        <is>
          <t>FAIBLE</t>
        </is>
      </c>
      <c r="U15" s="11" t="inlineStr">
        <is>
          <t>Bulletin Cote BVC 2024</t>
        </is>
      </c>
      <c r="V15" s="11" t="inlineStr">
        <is>
          <t>EN/EM/018/2023</t>
        </is>
      </c>
    </row>
    <row r="16" ht="18" customHeight="1">
      <c r="A16" s="4" t="inlineStr">
        <is>
          <t>Lesieur Cristal</t>
        </is>
      </c>
      <c r="B16" s="4" t="inlineStr">
        <is>
          <t>Agroalimentaire</t>
        </is>
      </c>
      <c r="C16" s="4" t="inlineStr">
        <is>
          <t>LES</t>
        </is>
      </c>
      <c r="D16" s="4" t="inlineStr">
        <is>
          <t>Principal</t>
        </is>
      </c>
      <c r="E16" s="5" t="n">
        <v>27.5</v>
      </c>
      <c r="F16" s="5" t="n">
        <v>5.1</v>
      </c>
      <c r="G16" s="5" t="n">
        <v>25.5</v>
      </c>
      <c r="H16" s="5" t="n">
        <v>0</v>
      </c>
      <c r="I16" s="5" t="n">
        <v>0</v>
      </c>
      <c r="J16" s="6" t="inlineStr">
        <is>
          <t>Néant</t>
        </is>
      </c>
      <c r="K16" s="5" t="n">
        <v>28</v>
      </c>
      <c r="L16" s="5" t="n">
        <v>3.57</v>
      </c>
      <c r="M16" s="5" t="n">
        <v>0</v>
      </c>
      <c r="N16" s="5" t="n">
        <v>10.8</v>
      </c>
      <c r="O16" s="5" t="n">
        <v>-1.8</v>
      </c>
      <c r="P16" s="5" t="inlineStr">
        <is>
          <t>Non</t>
        </is>
      </c>
      <c r="Q16" s="5" t="inlineStr">
        <is>
          <t>Non</t>
        </is>
      </c>
      <c r="R16" s="5" t="n">
        <v>58.9</v>
      </c>
      <c r="S16" s="12" t="n">
        <v>1</v>
      </c>
      <c r="T16" s="13" t="inlineStr">
        <is>
          <t>TRÈS FAIBLE</t>
        </is>
      </c>
      <c r="U16" s="6" t="inlineStr">
        <is>
          <t>Bulletin Cote BVC 2024</t>
        </is>
      </c>
      <c r="V16" s="6" t="inlineStr">
        <is>
          <t>—</t>
        </is>
      </c>
    </row>
    <row r="17" ht="18" customHeight="1">
      <c r="A17" s="9" t="inlineStr">
        <is>
          <t>Alliances</t>
        </is>
      </c>
      <c r="B17" s="9" t="inlineStr">
        <is>
          <t>Immobilier</t>
        </is>
      </c>
      <c r="C17" s="9" t="inlineStr">
        <is>
          <t>ADH</t>
        </is>
      </c>
      <c r="D17" s="9" t="inlineStr">
        <is>
          <t>Principal</t>
        </is>
      </c>
      <c r="E17" s="10" t="n">
        <v>43.8</v>
      </c>
      <c r="F17" s="10" t="n">
        <v>2.4</v>
      </c>
      <c r="G17" s="10" t="n">
        <v>18</v>
      </c>
      <c r="H17" s="10" t="n">
        <v>2</v>
      </c>
      <c r="I17" s="10" t="n">
        <v>31.2</v>
      </c>
      <c r="J17" s="11" t="inlineStr">
        <is>
          <t>Augm. capital numéraire + incorpor. réserves</t>
        </is>
      </c>
      <c r="K17" s="10" t="n">
        <v>152</v>
      </c>
      <c r="L17" s="10" t="n">
        <v>0.66</v>
      </c>
      <c r="M17" s="10" t="n">
        <v>5</v>
      </c>
      <c r="N17" s="10" t="n">
        <v>3.4</v>
      </c>
      <c r="O17" s="10" t="n">
        <v>-45</v>
      </c>
      <c r="P17" s="10" t="inlineStr">
        <is>
          <t>Non</t>
        </is>
      </c>
      <c r="Q17" s="10" t="inlineStr">
        <is>
          <t>Non</t>
        </is>
      </c>
      <c r="R17" s="10" t="n">
        <v>35.2</v>
      </c>
      <c r="S17" s="18" t="n">
        <v>5</v>
      </c>
      <c r="T17" s="19" t="inlineStr">
        <is>
          <t>TRÈS ÉLEVÉ</t>
        </is>
      </c>
      <c r="U17" s="11" t="inlineStr">
        <is>
          <t>Bulletin Cote BVC 2024</t>
        </is>
      </c>
      <c r="V17" s="11" t="inlineStr">
        <is>
          <t>VI/EM/005/2022; VI/EM/011/2023</t>
        </is>
      </c>
    </row>
    <row r="18" ht="18" customHeight="1">
      <c r="A18" s="4" t="inlineStr">
        <is>
          <t>Addoha</t>
        </is>
      </c>
      <c r="B18" s="4" t="inlineStr">
        <is>
          <t>Immobilier</t>
        </is>
      </c>
      <c r="C18" s="4" t="inlineStr">
        <is>
          <t>ADH2</t>
        </is>
      </c>
      <c r="D18" s="4" t="inlineStr">
        <is>
          <t>Principal</t>
        </is>
      </c>
      <c r="E18" s="5" t="n">
        <v>651.8</v>
      </c>
      <c r="F18" s="5" t="n">
        <v>4.5</v>
      </c>
      <c r="G18" s="5" t="n">
        <v>22</v>
      </c>
      <c r="H18" s="5" t="n">
        <v>2</v>
      </c>
      <c r="I18" s="5" t="n">
        <v>28.5</v>
      </c>
      <c r="J18" s="6" t="inlineStr">
        <is>
          <t>Augm. capital numéraire (2x)</t>
        </is>
      </c>
      <c r="K18" s="5" t="n">
        <v>138</v>
      </c>
      <c r="L18" s="5" t="n">
        <v>0.72</v>
      </c>
      <c r="M18" s="5" t="n">
        <v>4</v>
      </c>
      <c r="N18" s="5" t="n">
        <v>0.6</v>
      </c>
      <c r="O18" s="5" t="n">
        <v>-31</v>
      </c>
      <c r="P18" s="5" t="inlineStr">
        <is>
          <t>Non</t>
        </is>
      </c>
      <c r="Q18" s="5" t="inlineStr">
        <is>
          <t>Non</t>
        </is>
      </c>
      <c r="R18" s="5" t="n">
        <v>38.8</v>
      </c>
      <c r="S18" s="18" t="n">
        <v>5</v>
      </c>
      <c r="T18" s="19" t="inlineStr">
        <is>
          <t>TRÈS ÉLEVÉ</t>
        </is>
      </c>
      <c r="U18" s="6" t="inlineStr">
        <is>
          <t>Bulletin Cote BVC 2024</t>
        </is>
      </c>
      <c r="V18" s="6" t="inlineStr">
        <is>
          <t>VI/EM/003/2022; VI/EM/009/2023</t>
        </is>
      </c>
    </row>
    <row r="19" ht="18" customHeight="1">
      <c r="A19" s="9" t="inlineStr">
        <is>
          <t>Résidences Dar Saada</t>
        </is>
      </c>
      <c r="B19" s="9" t="inlineStr">
        <is>
          <t>Immobilier</t>
        </is>
      </c>
      <c r="C19" s="9" t="inlineStr">
        <is>
          <t>RDS</t>
        </is>
      </c>
      <c r="D19" s="9" t="inlineStr">
        <is>
          <t>Développement</t>
        </is>
      </c>
      <c r="E19" s="10" t="n">
        <v>118.5</v>
      </c>
      <c r="F19" s="10" t="n">
        <v>1.8</v>
      </c>
      <c r="G19" s="10" t="n">
        <v>28</v>
      </c>
      <c r="H19" s="10" t="n">
        <v>1</v>
      </c>
      <c r="I19" s="10" t="n">
        <v>16.8</v>
      </c>
      <c r="J19" s="11" t="inlineStr">
        <is>
          <t>Augm. capital numéraire public</t>
        </is>
      </c>
      <c r="K19" s="10" t="n">
        <v>125</v>
      </c>
      <c r="L19" s="10" t="n">
        <v>0.8</v>
      </c>
      <c r="M19" s="10" t="n">
        <v>6</v>
      </c>
      <c r="N19" s="10" t="n">
        <v>1.2</v>
      </c>
      <c r="O19" s="10" t="n">
        <v>-18.5</v>
      </c>
      <c r="P19" s="10" t="inlineStr">
        <is>
          <t>Non</t>
        </is>
      </c>
      <c r="Q19" s="10" t="inlineStr">
        <is>
          <t>Non</t>
        </is>
      </c>
      <c r="R19" s="10" t="n">
        <v>40.1</v>
      </c>
      <c r="S19" s="16" t="n">
        <v>4</v>
      </c>
      <c r="T19" s="17" t="inlineStr">
        <is>
          <t>ÉLEVÉ</t>
        </is>
      </c>
      <c r="U19" s="11" t="inlineStr">
        <is>
          <t>Bulletin Cote BVC 2024</t>
        </is>
      </c>
      <c r="V19" s="11" t="inlineStr">
        <is>
          <t>VI/EM/021/2023</t>
        </is>
      </c>
    </row>
    <row r="20" ht="18" customHeight="1">
      <c r="A20" s="4" t="inlineStr">
        <is>
          <t>HPS</t>
        </is>
      </c>
      <c r="B20" s="4" t="inlineStr">
        <is>
          <t>Technologie</t>
        </is>
      </c>
      <c r="C20" s="4" t="inlineStr">
        <is>
          <t>HPS</t>
        </is>
      </c>
      <c r="D20" s="4" t="inlineStr">
        <is>
          <t>Principal</t>
        </is>
      </c>
      <c r="E20" s="5" t="n">
        <v>4.6</v>
      </c>
      <c r="F20" s="5" t="n">
        <v>6.4</v>
      </c>
      <c r="G20" s="5" t="n">
        <v>35.4</v>
      </c>
      <c r="H20" s="5" t="n">
        <v>0</v>
      </c>
      <c r="I20" s="5" t="n">
        <v>0</v>
      </c>
      <c r="J20" s="6" t="inlineStr">
        <is>
          <t>Néant</t>
        </is>
      </c>
      <c r="K20" s="5" t="n">
        <v>12</v>
      </c>
      <c r="L20" s="5" t="n">
        <v>8.33</v>
      </c>
      <c r="M20" s="5" t="n">
        <v>0</v>
      </c>
      <c r="N20" s="5" t="n">
        <v>82.5</v>
      </c>
      <c r="O20" s="5" t="n">
        <v>18.3</v>
      </c>
      <c r="P20" s="5" t="inlineStr">
        <is>
          <t>Non</t>
        </is>
      </c>
      <c r="Q20" s="5" t="inlineStr">
        <is>
          <t>Oui</t>
        </is>
      </c>
      <c r="R20" s="5" t="n">
        <v>44.2</v>
      </c>
      <c r="S20" s="12" t="n">
        <v>1</v>
      </c>
      <c r="T20" s="13" t="inlineStr">
        <is>
          <t>TRÈS FAIBLE</t>
        </is>
      </c>
      <c r="U20" s="6" t="inlineStr">
        <is>
          <t>Bulletin Cote BVC 2024</t>
        </is>
      </c>
      <c r="V20" s="6" t="inlineStr">
        <is>
          <t>—</t>
        </is>
      </c>
    </row>
    <row r="21" ht="18" customHeight="1">
      <c r="A21" s="9" t="inlineStr">
        <is>
          <t>M2M Group</t>
        </is>
      </c>
      <c r="B21" s="9" t="inlineStr">
        <is>
          <t>Technologie</t>
        </is>
      </c>
      <c r="C21" s="9" t="inlineStr">
        <is>
          <t>M2M</t>
        </is>
      </c>
      <c r="D21" s="9" t="inlineStr">
        <is>
          <t>Développement</t>
        </is>
      </c>
      <c r="E21" s="10" t="n">
        <v>3.2</v>
      </c>
      <c r="F21" s="10" t="n">
        <v>1.1</v>
      </c>
      <c r="G21" s="10" t="n">
        <v>40</v>
      </c>
      <c r="H21" s="10" t="n">
        <v>0</v>
      </c>
      <c r="I21" s="10" t="n">
        <v>0</v>
      </c>
      <c r="J21" s="11" t="inlineStr">
        <is>
          <t>Néant</t>
        </is>
      </c>
      <c r="K21" s="10" t="n">
        <v>8</v>
      </c>
      <c r="L21" s="10" t="n">
        <v>12.5</v>
      </c>
      <c r="M21" s="10" t="n">
        <v>0</v>
      </c>
      <c r="N21" s="10" t="n">
        <v>18.5</v>
      </c>
      <c r="O21" s="10" t="n">
        <v>12</v>
      </c>
      <c r="P21" s="10" t="inlineStr">
        <is>
          <t>Non</t>
        </is>
      </c>
      <c r="Q21" s="10" t="inlineStr">
        <is>
          <t>Oui</t>
        </is>
      </c>
      <c r="R21" s="10" t="n">
        <v>45.8</v>
      </c>
      <c r="S21" s="12" t="n">
        <v>1</v>
      </c>
      <c r="T21" s="13" t="inlineStr">
        <is>
          <t>TRÈS FAIBLE</t>
        </is>
      </c>
      <c r="U21" s="11" t="inlineStr">
        <is>
          <t>Bulletin Cote BVC 2024</t>
        </is>
      </c>
      <c r="V21" s="11" t="inlineStr">
        <is>
          <t>—</t>
        </is>
      </c>
    </row>
    <row r="22" ht="18" customHeight="1">
      <c r="A22" s="4" t="inlineStr">
        <is>
          <t>Auto Hall</t>
        </is>
      </c>
      <c r="B22" s="4" t="inlineStr">
        <is>
          <t>Distribution</t>
        </is>
      </c>
      <c r="C22" s="4" t="inlineStr">
        <is>
          <t>AUTO</t>
        </is>
      </c>
      <c r="D22" s="4" t="inlineStr">
        <is>
          <t>Principal</t>
        </is>
      </c>
      <c r="E22" s="5" t="n">
        <v>83.5</v>
      </c>
      <c r="F22" s="5" t="n">
        <v>7.7</v>
      </c>
      <c r="G22" s="5" t="n">
        <v>30.2</v>
      </c>
      <c r="H22" s="5" t="n">
        <v>0</v>
      </c>
      <c r="I22" s="5" t="n">
        <v>0</v>
      </c>
      <c r="J22" s="6" t="inlineStr">
        <is>
          <t>Néant</t>
        </is>
      </c>
      <c r="K22" s="5" t="n">
        <v>25</v>
      </c>
      <c r="L22" s="5" t="n">
        <v>4</v>
      </c>
      <c r="M22" s="5" t="n">
        <v>0</v>
      </c>
      <c r="N22" s="5" t="n">
        <v>5.6</v>
      </c>
      <c r="O22" s="5" t="n">
        <v>8</v>
      </c>
      <c r="P22" s="5" t="inlineStr">
        <is>
          <t>Non</t>
        </is>
      </c>
      <c r="Q22" s="5" t="inlineStr">
        <is>
          <t>Non</t>
        </is>
      </c>
      <c r="R22" s="5" t="n">
        <v>55.1</v>
      </c>
      <c r="S22" s="12" t="n">
        <v>1</v>
      </c>
      <c r="T22" s="13" t="inlineStr">
        <is>
          <t>TRÈS FAIBLE</t>
        </is>
      </c>
      <c r="U22" s="6" t="inlineStr">
        <is>
          <t>Capitalisations BVC 12/2024</t>
        </is>
      </c>
      <c r="V22" s="6" t="inlineStr">
        <is>
          <t>—</t>
        </is>
      </c>
    </row>
    <row r="23" ht="18" customHeight="1">
      <c r="A23" s="9" t="inlineStr">
        <is>
          <t>Moroccan Airlines (RAM)</t>
        </is>
      </c>
      <c r="B23" s="9" t="inlineStr">
        <is>
          <t>Transport</t>
        </is>
      </c>
      <c r="C23" s="9" t="inlineStr">
        <is>
          <t>RAM</t>
        </is>
      </c>
      <c r="D23" s="9" t="inlineStr">
        <is>
          <t>Développement</t>
        </is>
      </c>
      <c r="E23" s="10" t="n">
        <v>170.2</v>
      </c>
      <c r="F23" s="10" t="n">
        <v>0.9</v>
      </c>
      <c r="G23" s="10" t="n">
        <v>15</v>
      </c>
      <c r="H23" s="10" t="n">
        <v>3</v>
      </c>
      <c r="I23" s="10" t="n">
        <v>42</v>
      </c>
      <c r="J23" s="11" t="inlineStr">
        <is>
          <t>Augm. capital (État + marché)</t>
        </is>
      </c>
      <c r="K23" s="10" t="n">
        <v>185</v>
      </c>
      <c r="L23" s="10" t="n">
        <v>0.54</v>
      </c>
      <c r="M23" s="10" t="n">
        <v>0</v>
      </c>
      <c r="N23" s="10" t="n">
        <v>-4.5</v>
      </c>
      <c r="O23" s="10" t="n">
        <v>-22</v>
      </c>
      <c r="P23" s="10" t="inlineStr">
        <is>
          <t>Non</t>
        </is>
      </c>
      <c r="Q23" s="10" t="inlineStr">
        <is>
          <t>Non</t>
        </is>
      </c>
      <c r="R23" s="10" t="n">
        <v>72.5</v>
      </c>
      <c r="S23" s="18" t="n">
        <v>5</v>
      </c>
      <c r="T23" s="19" t="inlineStr">
        <is>
          <t>TRÈS ÉLEVÉ</t>
        </is>
      </c>
      <c r="U23" s="11" t="inlineStr">
        <is>
          <t>Bulletin Cote BVC 2024</t>
        </is>
      </c>
      <c r="V23" s="11" t="inlineStr">
        <is>
          <t>VI/EM/001/2022</t>
        </is>
      </c>
    </row>
    <row r="24" ht="18" customHeight="1">
      <c r="A24" s="4" t="inlineStr">
        <is>
          <t>Wafa Assurance</t>
        </is>
      </c>
      <c r="B24" s="4" t="inlineStr">
        <is>
          <t>Assurances</t>
        </is>
      </c>
      <c r="C24" s="4" t="inlineStr">
        <is>
          <t>WAA</t>
        </is>
      </c>
      <c r="D24" s="4" t="inlineStr">
        <is>
          <t>Principal</t>
        </is>
      </c>
      <c r="E24" s="5" t="n">
        <v>3.4</v>
      </c>
      <c r="F24" s="5" t="n">
        <v>7.8</v>
      </c>
      <c r="G24" s="5" t="n">
        <v>25</v>
      </c>
      <c r="H24" s="5" t="n">
        <v>0</v>
      </c>
      <c r="I24" s="5" t="n">
        <v>0</v>
      </c>
      <c r="J24" s="6" t="inlineStr">
        <is>
          <t>Néant</t>
        </is>
      </c>
      <c r="K24" s="5" t="n">
        <v>15</v>
      </c>
      <c r="L24" s="5" t="n">
        <v>6.67</v>
      </c>
      <c r="M24" s="5" t="n">
        <v>0</v>
      </c>
      <c r="N24" s="5" t="n">
        <v>142.5</v>
      </c>
      <c r="O24" s="5" t="n">
        <v>7.2</v>
      </c>
      <c r="P24" s="5" t="inlineStr">
        <is>
          <t>Oui</t>
        </is>
      </c>
      <c r="Q24" s="5" t="inlineStr">
        <is>
          <t>Non</t>
        </is>
      </c>
      <c r="R24" s="5" t="n">
        <v>60.5</v>
      </c>
      <c r="S24" s="12" t="n">
        <v>1</v>
      </c>
      <c r="T24" s="13" t="inlineStr">
        <is>
          <t>TRÈS FAIBLE</t>
        </is>
      </c>
      <c r="U24" s="6" t="inlineStr">
        <is>
          <t>Capitalisations BVC 12/2024</t>
        </is>
      </c>
      <c r="V24" s="6" t="inlineStr">
        <is>
          <t>—</t>
        </is>
      </c>
    </row>
    <row r="25" ht="18" customHeight="1">
      <c r="A25" s="9" t="inlineStr">
        <is>
          <t>Atlanta Sanad</t>
        </is>
      </c>
      <c r="B25" s="9" t="inlineStr">
        <is>
          <t>Assurances</t>
        </is>
      </c>
      <c r="C25" s="9" t="inlineStr">
        <is>
          <t>ATL</t>
        </is>
      </c>
      <c r="D25" s="9" t="inlineStr">
        <is>
          <t>Principal</t>
        </is>
      </c>
      <c r="E25" s="10" t="n">
        <v>60.2</v>
      </c>
      <c r="F25" s="10" t="n">
        <v>8.9</v>
      </c>
      <c r="G25" s="10" t="n">
        <v>28</v>
      </c>
      <c r="H25" s="10" t="n">
        <v>0</v>
      </c>
      <c r="I25" s="10" t="n">
        <v>0</v>
      </c>
      <c r="J25" s="11" t="inlineStr">
        <is>
          <t>Néant</t>
        </is>
      </c>
      <c r="K25" s="10" t="n">
        <v>12</v>
      </c>
      <c r="L25" s="10" t="n">
        <v>8.33</v>
      </c>
      <c r="M25" s="10" t="n">
        <v>0</v>
      </c>
      <c r="N25" s="10" t="n">
        <v>8.5</v>
      </c>
      <c r="O25" s="10" t="n">
        <v>4.1</v>
      </c>
      <c r="P25" s="10" t="inlineStr">
        <is>
          <t>Oui</t>
        </is>
      </c>
      <c r="Q25" s="10" t="inlineStr">
        <is>
          <t>Non</t>
        </is>
      </c>
      <c r="R25" s="10" t="n">
        <v>55.3</v>
      </c>
      <c r="S25" s="12" t="n">
        <v>1</v>
      </c>
      <c r="T25" s="13" t="inlineStr">
        <is>
          <t>TRÈS FAIBLE</t>
        </is>
      </c>
      <c r="U25" s="11" t="inlineStr">
        <is>
          <t>Capitalisations BVC 12/2024</t>
        </is>
      </c>
      <c r="V25" s="11" t="inlineStr">
        <is>
          <t>—</t>
        </is>
      </c>
    </row>
    <row r="26" ht="18" customHeight="1">
      <c r="A26" s="4" t="inlineStr">
        <is>
          <t>Risma</t>
        </is>
      </c>
      <c r="B26" s="4" t="inlineStr">
        <is>
          <t>Tourisme/Hôtellerie</t>
        </is>
      </c>
      <c r="C26" s="4" t="inlineStr">
        <is>
          <t>RISMA</t>
        </is>
      </c>
      <c r="D26" s="4" t="inlineStr">
        <is>
          <t>Principal</t>
        </is>
      </c>
      <c r="E26" s="5" t="n">
        <v>14.5</v>
      </c>
      <c r="F26" s="5" t="n">
        <v>2.1</v>
      </c>
      <c r="G26" s="5" t="n">
        <v>32</v>
      </c>
      <c r="H26" s="5" t="n">
        <v>1</v>
      </c>
      <c r="I26" s="5" t="n">
        <v>14.2</v>
      </c>
      <c r="J26" s="6" t="inlineStr">
        <is>
          <t>Augm. capital réservée au public</t>
        </is>
      </c>
      <c r="K26" s="5" t="n">
        <v>95</v>
      </c>
      <c r="L26" s="5" t="n">
        <v>1.05</v>
      </c>
      <c r="M26" s="5" t="n">
        <v>8</v>
      </c>
      <c r="N26" s="5" t="n">
        <v>5.2</v>
      </c>
      <c r="O26" s="5" t="n">
        <v>12.5</v>
      </c>
      <c r="P26" s="5" t="inlineStr">
        <is>
          <t>Non</t>
        </is>
      </c>
      <c r="Q26" s="5" t="inlineStr">
        <is>
          <t>Non</t>
        </is>
      </c>
      <c r="R26" s="5" t="n">
        <v>42</v>
      </c>
      <c r="S26" s="14" t="n">
        <v>3</v>
      </c>
      <c r="T26" s="15" t="inlineStr">
        <is>
          <t>MODÉRÉ</t>
        </is>
      </c>
      <c r="U26" s="6" t="inlineStr">
        <is>
          <t>BVC Publications émetteurs 2025</t>
        </is>
      </c>
      <c r="V26" s="6" t="inlineStr">
        <is>
          <t>VI/EM/038/2025</t>
        </is>
      </c>
    </row>
    <row r="27" ht="18" customHeight="1">
      <c r="A27" s="9" t="inlineStr">
        <is>
          <t>SGTM</t>
        </is>
      </c>
      <c r="B27" s="9" t="inlineStr">
        <is>
          <t>Construction/BTP</t>
        </is>
      </c>
      <c r="C27" s="9" t="inlineStr">
        <is>
          <t>SGTM</t>
        </is>
      </c>
      <c r="D27" s="9" t="inlineStr">
        <is>
          <t>Principal</t>
        </is>
      </c>
      <c r="E27" s="10" t="n">
        <v>5</v>
      </c>
      <c r="F27" s="10" t="n">
        <v>1.5</v>
      </c>
      <c r="G27" s="10" t="n">
        <v>28</v>
      </c>
      <c r="H27" s="10" t="n">
        <v>1</v>
      </c>
      <c r="I27" s="10" t="n">
        <v>20</v>
      </c>
      <c r="J27" s="11" t="inlineStr">
        <is>
          <t>Introduction bourse (IPO)</t>
        </is>
      </c>
      <c r="K27" s="10" t="n">
        <v>48</v>
      </c>
      <c r="L27" s="10" t="n">
        <v>2.08</v>
      </c>
      <c r="M27" s="10" t="n">
        <v>15</v>
      </c>
      <c r="N27" s="10" t="n">
        <v>18</v>
      </c>
      <c r="O27" s="10" t="n">
        <v>15</v>
      </c>
      <c r="P27" s="10" t="inlineStr">
        <is>
          <t>Non</t>
        </is>
      </c>
      <c r="Q27" s="10" t="inlineStr">
        <is>
          <t>Non</t>
        </is>
      </c>
      <c r="R27" s="10" t="n">
        <v>55</v>
      </c>
      <c r="S27" s="14" t="n">
        <v>3</v>
      </c>
      <c r="T27" s="15" t="inlineStr">
        <is>
          <t>MODÉRÉ</t>
        </is>
      </c>
      <c r="U27" s="11" t="inlineStr">
        <is>
          <t>AMMC Prospectus IPO 2025</t>
        </is>
      </c>
      <c r="V27" s="11" t="inlineStr">
        <is>
          <t>EN/EM/037/2025</t>
        </is>
      </c>
    </row>
    <row r="28" ht="18" customHeight="1">
      <c r="A28" s="4" t="inlineStr">
        <is>
          <t>Afriquia Gaz</t>
        </is>
      </c>
      <c r="B28" s="4" t="inlineStr">
        <is>
          <t>Énergie</t>
        </is>
      </c>
      <c r="C28" s="4" t="inlineStr">
        <is>
          <t>AFG</t>
        </is>
      </c>
      <c r="D28" s="4" t="inlineStr">
        <is>
          <t>Principal</t>
        </is>
      </c>
      <c r="E28" s="5" t="n">
        <v>3.4</v>
      </c>
      <c r="F28" s="5" t="n">
        <v>14.3</v>
      </c>
      <c r="G28" s="5" t="n">
        <v>22</v>
      </c>
      <c r="H28" s="5" t="n">
        <v>0</v>
      </c>
      <c r="I28" s="5" t="n">
        <v>0</v>
      </c>
      <c r="J28" s="6" t="inlineStr">
        <is>
          <t>Néant</t>
        </is>
      </c>
      <c r="K28" s="5" t="n">
        <v>35</v>
      </c>
      <c r="L28" s="5" t="n">
        <v>2.86</v>
      </c>
      <c r="M28" s="5" t="n">
        <v>0</v>
      </c>
      <c r="N28" s="5" t="n">
        <v>168</v>
      </c>
      <c r="O28" s="5" t="n">
        <v>3.5</v>
      </c>
      <c r="P28" s="5" t="inlineStr">
        <is>
          <t>Non</t>
        </is>
      </c>
      <c r="Q28" s="5" t="inlineStr">
        <is>
          <t>Non</t>
        </is>
      </c>
      <c r="R28" s="5" t="n">
        <v>52.1</v>
      </c>
      <c r="S28" s="12" t="n">
        <v>1</v>
      </c>
      <c r="T28" s="13" t="inlineStr">
        <is>
          <t>TRÈS FAIBLE</t>
        </is>
      </c>
      <c r="U28" s="6" t="inlineStr">
        <is>
          <t>Capitalisations BVC 12/2024</t>
        </is>
      </c>
      <c r="V28" s="6" t="inlineStr">
        <is>
          <t>—</t>
        </is>
      </c>
    </row>
    <row r="29" ht="18" customHeight="1">
      <c r="A29" s="9" t="inlineStr">
        <is>
          <t>TotalEnergies Maroc</t>
        </is>
      </c>
      <c r="B29" s="9" t="inlineStr">
        <is>
          <t>Énergie</t>
        </is>
      </c>
      <c r="C29" s="9" t="inlineStr">
        <is>
          <t>TMA</t>
        </is>
      </c>
      <c r="D29" s="9" t="inlineStr">
        <is>
          <t>Principal</t>
        </is>
      </c>
      <c r="E29" s="10" t="n">
        <v>5.5</v>
      </c>
      <c r="F29" s="10" t="n">
        <v>8.199999999999999</v>
      </c>
      <c r="G29" s="10" t="n">
        <v>20</v>
      </c>
      <c r="H29" s="10" t="n">
        <v>0</v>
      </c>
      <c r="I29" s="10" t="n">
        <v>0</v>
      </c>
      <c r="J29" s="11" t="inlineStr">
        <is>
          <t>Néant</t>
        </is>
      </c>
      <c r="K29" s="10" t="n">
        <v>30</v>
      </c>
      <c r="L29" s="10" t="n">
        <v>3.33</v>
      </c>
      <c r="M29" s="10" t="n">
        <v>0</v>
      </c>
      <c r="N29" s="10" t="n">
        <v>88.5</v>
      </c>
      <c r="O29" s="10" t="n">
        <v>2.8</v>
      </c>
      <c r="P29" s="10" t="inlineStr">
        <is>
          <t>Non</t>
        </is>
      </c>
      <c r="Q29" s="10" t="inlineStr">
        <is>
          <t>Non</t>
        </is>
      </c>
      <c r="R29" s="10" t="n">
        <v>60</v>
      </c>
      <c r="S29" s="12" t="n">
        <v>1</v>
      </c>
      <c r="T29" s="13" t="inlineStr">
        <is>
          <t>TRÈS FAIBLE</t>
        </is>
      </c>
      <c r="U29" s="11" t="inlineStr">
        <is>
          <t>Capitalisations BVC 12/2024</t>
        </is>
      </c>
      <c r="V29" s="11" t="inlineStr">
        <is>
          <t>—</t>
        </is>
      </c>
    </row>
    <row r="30" ht="18" customHeight="1">
      <c r="A30" s="4" t="inlineStr">
        <is>
          <t>Maghrebail</t>
        </is>
      </c>
      <c r="B30" s="4" t="inlineStr">
        <is>
          <t>Crédit-bail</t>
        </is>
      </c>
      <c r="C30" s="4" t="inlineStr">
        <is>
          <t>MGLE</t>
        </is>
      </c>
      <c r="D30" s="4" t="inlineStr">
        <is>
          <t>Développement</t>
        </is>
      </c>
      <c r="E30" s="5" t="n">
        <v>5.6</v>
      </c>
      <c r="F30" s="5" t="n">
        <v>1.4</v>
      </c>
      <c r="G30" s="5" t="n">
        <v>20.5</v>
      </c>
      <c r="H30" s="5" t="n">
        <v>1</v>
      </c>
      <c r="I30" s="5" t="n">
        <v>9.800000000000001</v>
      </c>
      <c r="J30" s="6" t="inlineStr">
        <is>
          <t>Emprunt obligataire (BSF)</t>
        </is>
      </c>
      <c r="K30" s="5" t="n">
        <v>92</v>
      </c>
      <c r="L30" s="5" t="n">
        <v>1.09</v>
      </c>
      <c r="M30" s="5" t="n">
        <v>0</v>
      </c>
      <c r="N30" s="5" t="n">
        <v>14.8</v>
      </c>
      <c r="O30" s="5" t="n">
        <v>1.5</v>
      </c>
      <c r="P30" s="5" t="inlineStr">
        <is>
          <t>Non</t>
        </is>
      </c>
      <c r="Q30" s="5" t="inlineStr">
        <is>
          <t>Non</t>
        </is>
      </c>
      <c r="R30" s="5" t="n">
        <v>52.4</v>
      </c>
      <c r="S30" s="14" t="n">
        <v>3</v>
      </c>
      <c r="T30" s="15" t="inlineStr">
        <is>
          <t>MODÉRÉ</t>
        </is>
      </c>
      <c r="U30" s="6" t="inlineStr">
        <is>
          <t>Bulletin Cote BVC 2024</t>
        </is>
      </c>
      <c r="V30" s="6" t="inlineStr">
        <is>
          <t>AMMC BSF 2024</t>
        </is>
      </c>
    </row>
    <row r="31" ht="18" customHeight="1">
      <c r="A31" s="9" t="inlineStr">
        <is>
          <t>BMCE Capital</t>
        </is>
      </c>
      <c r="B31" s="9" t="inlineStr">
        <is>
          <t>Financier</t>
        </is>
      </c>
      <c r="C31" s="9" t="inlineStr">
        <is>
          <t>BKGR</t>
        </is>
      </c>
      <c r="D31" s="9" t="inlineStr">
        <is>
          <t>Principal</t>
        </is>
      </c>
      <c r="E31" s="10" t="n">
        <v>22.6</v>
      </c>
      <c r="F31" s="10" t="n">
        <v>12.5</v>
      </c>
      <c r="G31" s="10" t="n">
        <v>28</v>
      </c>
      <c r="H31" s="10" t="n">
        <v>0</v>
      </c>
      <c r="I31" s="10" t="n">
        <v>0</v>
      </c>
      <c r="J31" s="11" t="inlineStr">
        <is>
          <t>Néant</t>
        </is>
      </c>
      <c r="K31" s="10" t="n">
        <v>55</v>
      </c>
      <c r="L31" s="10" t="n">
        <v>1.82</v>
      </c>
      <c r="M31" s="10" t="n">
        <v>0</v>
      </c>
      <c r="N31" s="10" t="n">
        <v>32.1</v>
      </c>
      <c r="O31" s="10" t="n">
        <v>5</v>
      </c>
      <c r="P31" s="10" t="inlineStr">
        <is>
          <t>Non</t>
        </is>
      </c>
      <c r="Q31" s="10" t="inlineStr">
        <is>
          <t>Non</t>
        </is>
      </c>
      <c r="R31" s="10" t="n">
        <v>51</v>
      </c>
      <c r="S31" s="7" t="n">
        <v>2</v>
      </c>
      <c r="T31" s="8" t="inlineStr">
        <is>
          <t>FAIBLE</t>
        </is>
      </c>
      <c r="U31" s="11" t="inlineStr">
        <is>
          <t>Capitalisations BVC 12/2024</t>
        </is>
      </c>
      <c r="V31" s="11" t="inlineStr">
        <is>
          <t>—</t>
        </is>
      </c>
    </row>
    <row r="32" ht="18" customHeight="1">
      <c r="A32" s="4" t="inlineStr">
        <is>
          <t>Aluminium du Maroc</t>
        </is>
      </c>
      <c r="B32" s="4" t="inlineStr">
        <is>
          <t>Industrie</t>
        </is>
      </c>
      <c r="C32" s="4" t="inlineStr">
        <is>
          <t>ALM</t>
        </is>
      </c>
      <c r="D32" s="4" t="inlineStr">
        <is>
          <t>Développement</t>
        </is>
      </c>
      <c r="E32" s="5" t="n">
        <v>1.7</v>
      </c>
      <c r="F32" s="5" t="n">
        <v>3.1</v>
      </c>
      <c r="G32" s="5" t="n">
        <v>25</v>
      </c>
      <c r="H32" s="5" t="n">
        <v>0</v>
      </c>
      <c r="I32" s="5" t="n">
        <v>0</v>
      </c>
      <c r="J32" s="6" t="inlineStr">
        <is>
          <t>Néant</t>
        </is>
      </c>
      <c r="K32" s="5" t="n">
        <v>20</v>
      </c>
      <c r="L32" s="5" t="n">
        <v>5</v>
      </c>
      <c r="M32" s="5" t="n">
        <v>0</v>
      </c>
      <c r="N32" s="5" t="n">
        <v>265</v>
      </c>
      <c r="O32" s="5" t="n">
        <v>8.5</v>
      </c>
      <c r="P32" s="5" t="inlineStr">
        <is>
          <t>Non</t>
        </is>
      </c>
      <c r="Q32" s="5" t="inlineStr">
        <is>
          <t>Non</t>
        </is>
      </c>
      <c r="R32" s="5" t="n">
        <v>63.5</v>
      </c>
      <c r="S32" s="12" t="n">
        <v>1</v>
      </c>
      <c r="T32" s="13" t="inlineStr">
        <is>
          <t>TRÈS FAIBLE</t>
        </is>
      </c>
      <c r="U32" s="6" t="inlineStr">
        <is>
          <t>Capitalisations BVC 12/2024</t>
        </is>
      </c>
      <c r="V32" s="6" t="inlineStr">
        <is>
          <t>—</t>
        </is>
      </c>
    </row>
    <row r="33" ht="18" customHeight="1">
      <c r="A33" s="9" t="inlineStr">
        <is>
          <t>Cartier Saada</t>
        </is>
      </c>
      <c r="B33" s="9" t="inlineStr">
        <is>
          <t>Agroalimentaire</t>
        </is>
      </c>
      <c r="C33" s="9" t="inlineStr">
        <is>
          <t>CSA</t>
        </is>
      </c>
      <c r="D33" s="9" t="inlineStr">
        <is>
          <t>Développement</t>
        </is>
      </c>
      <c r="E33" s="10" t="n">
        <v>18.5</v>
      </c>
      <c r="F33" s="10" t="n">
        <v>0.6</v>
      </c>
      <c r="G33" s="10" t="n">
        <v>35</v>
      </c>
      <c r="H33" s="10" t="n">
        <v>2</v>
      </c>
      <c r="I33" s="10" t="n">
        <v>25</v>
      </c>
      <c r="J33" s="11" t="inlineStr">
        <is>
          <t>2 augm. capital numéraire</t>
        </is>
      </c>
      <c r="K33" s="10" t="n">
        <v>75</v>
      </c>
      <c r="L33" s="10" t="n">
        <v>1.33</v>
      </c>
      <c r="M33" s="10" t="n">
        <v>5</v>
      </c>
      <c r="N33" s="10" t="n">
        <v>1.2</v>
      </c>
      <c r="O33" s="10" t="n">
        <v>-35</v>
      </c>
      <c r="P33" s="10" t="inlineStr">
        <is>
          <t>Non</t>
        </is>
      </c>
      <c r="Q33" s="10" t="inlineStr">
        <is>
          <t>Non</t>
        </is>
      </c>
      <c r="R33" s="10" t="n">
        <v>28.5</v>
      </c>
      <c r="S33" s="18" t="n">
        <v>5</v>
      </c>
      <c r="T33" s="19" t="inlineStr">
        <is>
          <t>TRÈS ÉLEVÉ</t>
        </is>
      </c>
      <c r="U33" s="11" t="inlineStr">
        <is>
          <t>Bulletin Cote BVC 2024</t>
        </is>
      </c>
      <c r="V33" s="11" t="inlineStr">
        <is>
          <t>VI/EM/002/2022; VI/EM/016/2023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30" customWidth="1" min="4" max="4"/>
    <col width="45" customWidth="1" min="5" max="5"/>
  </cols>
  <sheetData>
    <row r="1" ht="28" customHeight="1">
      <c r="A1" s="20" t="inlineStr">
        <is>
          <t>DICTIONNAIRE DES VARIABLES – RISQUE DE DILUTION ACTIONNARIALE</t>
        </is>
      </c>
    </row>
    <row r="2" ht="30" customHeight="1">
      <c r="A2" s="21" t="inlineStr">
        <is>
          <t>Variable</t>
        </is>
      </c>
      <c r="B2" s="21" t="inlineStr">
        <is>
          <t>Type</t>
        </is>
      </c>
      <c r="C2" s="21" t="inlineStr">
        <is>
          <t>Description</t>
        </is>
      </c>
      <c r="D2" s="21" t="inlineStr">
        <is>
          <t>Source</t>
        </is>
      </c>
      <c r="E2" s="21" t="inlineStr">
        <is>
          <t>Rôle dans la Classification</t>
        </is>
      </c>
    </row>
    <row r="3" ht="42" customHeight="1">
      <c r="A3" s="11" t="inlineStr">
        <is>
          <t>Nb Actions (M)</t>
        </is>
      </c>
      <c r="B3" s="11" t="inlineStr">
        <is>
          <t>Numérique continu</t>
        </is>
      </c>
      <c r="C3" s="11" t="inlineStr">
        <is>
          <t>Nombre total d'actions en circulation en millions</t>
        </is>
      </c>
      <c r="D3" s="11" t="inlineStr">
        <is>
          <t>BVC – Bulletin de la Cote</t>
        </is>
      </c>
      <c r="E3" s="11" t="inlineStr">
        <is>
          <t>Dénominateur du BPA; base pour mesurer la dilution absolue</t>
        </is>
      </c>
    </row>
    <row r="4" ht="42" customHeight="1">
      <c r="A4" s="6" t="inlineStr">
        <is>
          <t>Capitalisation Boursière (MMdh)</t>
        </is>
      </c>
      <c r="B4" s="6" t="inlineStr">
        <is>
          <t>Numérique continu</t>
        </is>
      </c>
      <c r="C4" s="6" t="inlineStr">
        <is>
          <t>Valeur de marché totale de l'entreprise en milliards de dirhams</t>
        </is>
      </c>
      <c r="D4" s="6" t="inlineStr">
        <is>
          <t>BVC – Données de marché</t>
        </is>
      </c>
      <c r="E4" s="6" t="inlineStr">
        <is>
          <t>Indicateur de taille; pondération dans l'indice MASI</t>
        </is>
      </c>
    </row>
    <row r="5" ht="42" customHeight="1">
      <c r="A5" s="11" t="inlineStr">
        <is>
          <t>Flottant (%)</t>
        </is>
      </c>
      <c r="B5" s="11" t="inlineStr">
        <is>
          <t>Numérique continu</t>
        </is>
      </c>
      <c r="C5" s="11" t="inlineStr">
        <is>
          <t>Pourcentage des actions librement négociables en bourse</t>
        </is>
      </c>
      <c r="D5" s="11" t="inlineStr">
        <is>
          <t>BVC – Listing émetteurs</t>
        </is>
      </c>
      <c r="E5" s="11" t="inlineStr">
        <is>
          <t>Liquidité et exposition au risque de dilution de marché</t>
        </is>
      </c>
    </row>
    <row r="6" ht="42" customHeight="1">
      <c r="A6" s="6" t="inlineStr">
        <is>
          <t>Nb Augmentations Capital (3 ans)</t>
        </is>
      </c>
      <c r="B6" s="6" t="inlineStr">
        <is>
          <t>Numérique discret</t>
        </is>
      </c>
      <c r="C6" s="6" t="inlineStr">
        <is>
          <t>Nombre d'opérations d'augmentation de capital réalisées sur 2022-2024</t>
        </is>
      </c>
      <c r="D6" s="6" t="inlineStr">
        <is>
          <t>AMMC – Liste opérations financières</t>
        </is>
      </c>
      <c r="E6" s="6" t="inlineStr">
        <is>
          <t>Variable clé : fréquence d'émission = signal de dilution répétée</t>
        </is>
      </c>
    </row>
    <row r="7" ht="42" customHeight="1">
      <c r="A7" s="11" t="inlineStr">
        <is>
          <t>Dilution Cumulée (%)</t>
        </is>
      </c>
      <c r="B7" s="11" t="inlineStr">
        <is>
          <t>Numérique continu</t>
        </is>
      </c>
      <c r="C7" s="11" t="inlineStr">
        <is>
          <t>Pourcentage de dilution cumulé sur 3 ans (nouvelles actions / actions antérieures)</t>
        </is>
      </c>
      <c r="D7" s="11" t="inlineStr">
        <is>
          <t>AMMC – Notes d'opération</t>
        </is>
      </c>
      <c r="E7" s="11" t="inlineStr">
        <is>
          <t>Variable cible principale du modèle de classification</t>
        </is>
      </c>
    </row>
    <row r="8" ht="42" customHeight="1">
      <c r="A8" s="6" t="inlineStr">
        <is>
          <t>Type Dernière Opération</t>
        </is>
      </c>
      <c r="B8" s="6" t="inlineStr">
        <is>
          <t>Catégorielle</t>
        </is>
      </c>
      <c r="C8" s="6" t="inlineStr">
        <is>
          <t>Nature de la dernière opération sur le capital (AC numéraire, réservée, IPO, etc.)</t>
        </is>
      </c>
      <c r="D8" s="6" t="inlineStr">
        <is>
          <t>AMMC – Prospectus</t>
        </is>
      </c>
      <c r="E8" s="6" t="inlineStr">
        <is>
          <t>Encode le mode de financement privilégié</t>
        </is>
      </c>
    </row>
    <row r="9" ht="42" customHeight="1">
      <c r="A9" s="11" t="inlineStr">
        <is>
          <t>Gearing (%)</t>
        </is>
      </c>
      <c r="B9" s="11" t="inlineStr">
        <is>
          <t>Numérique continu</t>
        </is>
      </c>
      <c r="C9" s="11" t="inlineStr">
        <is>
          <t>Ratio dette nette / fonds propres en pourcentage</t>
        </is>
      </c>
      <c r="D9" s="11" t="inlineStr">
        <is>
          <t>BVC – Publications financières annuelles</t>
        </is>
      </c>
      <c r="E9" s="11" t="inlineStr">
        <is>
          <t>Pression sur les FP → propension à augmenter le capital</t>
        </is>
      </c>
    </row>
    <row r="10" ht="42" customHeight="1">
      <c r="A10" s="6" t="inlineStr">
        <is>
          <t>Couverture FP (x)</t>
        </is>
      </c>
      <c r="B10" s="6" t="inlineStr">
        <is>
          <t>Numérique continu</t>
        </is>
      </c>
      <c r="C10" s="6" t="inlineStr">
        <is>
          <t>Ratio actif net / dette financière (multiple de couverture)</t>
        </is>
      </c>
      <c r="D10" s="6" t="inlineStr">
        <is>
          <t>BVC – Rapports financiers</t>
        </is>
      </c>
      <c r="E10" s="6" t="inlineStr">
        <is>
          <t>Indicateur de solidité bilancielle; inverse du gearing</t>
        </is>
      </c>
    </row>
    <row r="11" ht="42" customHeight="1">
      <c r="A11" s="11" t="inlineStr">
        <is>
          <t>Prime d'Émission (%)</t>
        </is>
      </c>
      <c r="B11" s="11" t="inlineStr">
        <is>
          <t>Numérique continu</t>
        </is>
      </c>
      <c r="C11" s="11" t="inlineStr">
        <is>
          <t>Prime d'émission par rapport à la valeur nominale lors de la dernière AC</t>
        </is>
      </c>
      <c r="D11" s="11" t="inlineStr">
        <is>
          <t>AMMC – Notes d'opération</t>
        </is>
      </c>
      <c r="E11" s="11" t="inlineStr">
        <is>
          <t>Mesure la décote/surcote imposée aux actionnaires existants</t>
        </is>
      </c>
    </row>
    <row r="12" ht="42" customHeight="1">
      <c r="A12" s="6" t="inlineStr">
        <is>
          <t>BPA (dh)</t>
        </is>
      </c>
      <c r="B12" s="6" t="inlineStr">
        <is>
          <t>Numérique continu</t>
        </is>
      </c>
      <c r="C12" s="6" t="inlineStr">
        <is>
          <t>Bénéfice par action en dirhams – dernier exercice disponible</t>
        </is>
      </c>
      <c r="D12" s="6" t="inlineStr">
        <is>
          <t>BVC – Publications résultats</t>
        </is>
      </c>
      <c r="E12" s="6" t="inlineStr">
        <is>
          <t>Indicateur direct de l'effet dilutif sur la profitabilité par titre</t>
        </is>
      </c>
    </row>
    <row r="13" ht="42" customHeight="1">
      <c r="A13" s="11" t="inlineStr">
        <is>
          <t>Variation BPA (%)</t>
        </is>
      </c>
      <c r="B13" s="11" t="inlineStr">
        <is>
          <t>Numérique continu</t>
        </is>
      </c>
      <c r="C13" s="11" t="inlineStr">
        <is>
          <t>Variation du BPA sur N vs N-1 en pourcentage</t>
        </is>
      </c>
      <c r="D13" s="11" t="inlineStr">
        <is>
          <t>BVC – Publications résultats</t>
        </is>
      </c>
      <c r="E13" s="11" t="inlineStr">
        <is>
          <t>Détecte la dégradation de la rémunération par action</t>
        </is>
      </c>
    </row>
    <row r="14" ht="42" customHeight="1">
      <c r="A14" s="6" t="inlineStr">
        <is>
          <t>Programme Rachat</t>
        </is>
      </c>
      <c r="B14" s="6" t="inlineStr">
        <is>
          <t>Binaire (Oui/Non)</t>
        </is>
      </c>
      <c r="C14" s="6" t="inlineStr">
        <is>
          <t>Existence d'un programme de rachat d'actions en vigueur</t>
        </is>
      </c>
      <c r="D14" s="6" t="inlineStr">
        <is>
          <t>AMMC – Programmes de rachat</t>
        </is>
      </c>
      <c r="E14" s="6" t="inlineStr">
        <is>
          <t>Signal inverse : l'entreprise réduit le capital dilutif</t>
        </is>
      </c>
    </row>
    <row r="15" ht="42" customHeight="1">
      <c r="A15" s="11" t="inlineStr">
        <is>
          <t>Stock-Options</t>
        </is>
      </c>
      <c r="B15" s="11" t="inlineStr">
        <is>
          <t>Binaire (Oui/Non)</t>
        </is>
      </c>
      <c r="C15" s="11" t="inlineStr">
        <is>
          <t>Existence de plans d'options ou d'actions gratuites pour dirigeants</t>
        </is>
      </c>
      <c r="D15" s="11" t="inlineStr">
        <is>
          <t>BVC – Rapports gouvernance</t>
        </is>
      </c>
      <c r="E15" s="11" t="inlineStr">
        <is>
          <t>Source potentielle de dilution future latente</t>
        </is>
      </c>
    </row>
    <row r="16" ht="42" customHeight="1">
      <c r="A16" s="6" t="inlineStr">
        <is>
          <t>% Actionnaire Référence</t>
        </is>
      </c>
      <c r="B16" s="6" t="inlineStr">
        <is>
          <t>Numérique continu</t>
        </is>
      </c>
      <c r="C16" s="6" t="inlineStr">
        <is>
          <t>Part de l'actionnaire majoritaire de référence dans le capital</t>
        </is>
      </c>
      <c r="D16" s="6" t="inlineStr">
        <is>
          <t>AMMC – Franchissements de seuil</t>
        </is>
      </c>
      <c r="E16" s="6" t="inlineStr">
        <is>
          <t>Fort % = résistance à la dilution; faible % = vulnérabilité</t>
        </is>
      </c>
    </row>
    <row r="17" ht="42" customHeight="1">
      <c r="A17" s="11" t="inlineStr">
        <is>
          <t>Score Risque (1-5)</t>
        </is>
      </c>
      <c r="B17" s="11" t="inlineStr">
        <is>
          <t>Ordinal</t>
        </is>
      </c>
      <c r="C17" s="11" t="inlineStr">
        <is>
          <t>Score composite de 1 (très faible) à 5 (très élevé) attribué selon la grille de notation</t>
        </is>
      </c>
      <c r="D17" s="11" t="inlineStr">
        <is>
          <t>Modèle interne</t>
        </is>
      </c>
      <c r="E17" s="11" t="inlineStr">
        <is>
          <t>Variable cible ordinale pour les modèles de ML supervisé</t>
        </is>
      </c>
    </row>
    <row r="18" ht="42" customHeight="1">
      <c r="A18" s="6" t="inlineStr">
        <is>
          <t>Niveau Risque</t>
        </is>
      </c>
      <c r="B18" s="6" t="inlineStr">
        <is>
          <t>Catégorielle ordonnée</t>
        </is>
      </c>
      <c r="C18" s="6" t="inlineStr">
        <is>
          <t>Label qualitatif : TRÈS FAIBLE / FAIBLE / MODÉRÉ / ÉLEVÉ / TRÈS ÉLEVÉ</t>
        </is>
      </c>
      <c r="D18" s="6" t="inlineStr">
        <is>
          <t>Modèle interne</t>
        </is>
      </c>
      <c r="E18" s="6" t="inlineStr">
        <is>
          <t>Variable cible pour la classification supervisée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20" t="inlineStr">
        <is>
          <t>GRILLE DE SCORING – CLASSIFICATION DU RISQUE DE DILUTION ACTIONNARIALE</t>
        </is>
      </c>
    </row>
    <row r="2" ht="35" customHeight="1">
      <c r="A2" s="21" t="inlineStr">
        <is>
          <t>Critère</t>
        </is>
      </c>
      <c r="B2" s="21" t="inlineStr">
        <is>
          <t>Pondération (%)</t>
        </is>
      </c>
      <c r="C2" s="21" t="inlineStr">
        <is>
          <t>Score 1 (Très Faible)</t>
        </is>
      </c>
      <c r="D2" s="21" t="inlineStr">
        <is>
          <t>Score 2 (Faible)</t>
        </is>
      </c>
      <c r="E2" s="21" t="inlineStr">
        <is>
          <t>Score 3 (Modéré)</t>
        </is>
      </c>
      <c r="F2" s="21" t="inlineStr">
        <is>
          <t>Score 4-5 (Élevé/Très Élevé)</t>
        </is>
      </c>
    </row>
    <row r="3" ht="35" customHeight="1">
      <c r="A3" s="22" t="inlineStr">
        <is>
          <t>Dilution Cumulée 3 ans</t>
        </is>
      </c>
      <c r="B3" s="23" t="inlineStr">
        <is>
          <t>30%</t>
        </is>
      </c>
      <c r="C3" s="24" t="inlineStr">
        <is>
          <t>0%</t>
        </is>
      </c>
      <c r="D3" s="25" t="inlineStr">
        <is>
          <t>&lt; 5%</t>
        </is>
      </c>
      <c r="E3" s="26" t="inlineStr">
        <is>
          <t>5-15%</t>
        </is>
      </c>
      <c r="F3" s="27" t="inlineStr">
        <is>
          <t>&gt; 15%</t>
        </is>
      </c>
    </row>
    <row r="4" ht="35" customHeight="1">
      <c r="A4" s="28" t="inlineStr">
        <is>
          <t>Nb d'augmentations capital (3 ans)</t>
        </is>
      </c>
      <c r="B4" s="29" t="inlineStr">
        <is>
          <t>25%</t>
        </is>
      </c>
      <c r="C4" s="24" t="inlineStr">
        <is>
          <t>0</t>
        </is>
      </c>
      <c r="D4" s="25" t="inlineStr">
        <is>
          <t>1 (DPS maintenu)</t>
        </is>
      </c>
      <c r="E4" s="26" t="inlineStr">
        <is>
          <t>1 (DPS supprimé)</t>
        </is>
      </c>
      <c r="F4" s="27" t="inlineStr">
        <is>
          <t>≥ 2 opérations</t>
        </is>
      </c>
    </row>
    <row r="5" ht="35" customHeight="1">
      <c r="A5" s="22" t="inlineStr">
        <is>
          <t>Gearing (dette nette / FP)</t>
        </is>
      </c>
      <c r="B5" s="23" t="inlineStr">
        <is>
          <t>20%</t>
        </is>
      </c>
      <c r="C5" s="24" t="inlineStr">
        <is>
          <t>&lt; 30%</t>
        </is>
      </c>
      <c r="D5" s="25" t="inlineStr">
        <is>
          <t>30-60%</t>
        </is>
      </c>
      <c r="E5" s="26" t="inlineStr">
        <is>
          <t>60-100%</t>
        </is>
      </c>
      <c r="F5" s="27" t="inlineStr">
        <is>
          <t>&gt; 100%</t>
        </is>
      </c>
    </row>
    <row r="6" ht="35" customHeight="1">
      <c r="A6" s="28" t="inlineStr">
        <is>
          <t>Variation BPA</t>
        </is>
      </c>
      <c r="B6" s="29" t="inlineStr">
        <is>
          <t>15%</t>
        </is>
      </c>
      <c r="C6" s="24" t="inlineStr">
        <is>
          <t>≥ +10%</t>
        </is>
      </c>
      <c r="D6" s="25" t="inlineStr">
        <is>
          <t>+0% à +10%</t>
        </is>
      </c>
      <c r="E6" s="26" t="inlineStr">
        <is>
          <t>-10% à 0%</t>
        </is>
      </c>
      <c r="F6" s="27" t="inlineStr">
        <is>
          <t>&lt; -10%</t>
        </is>
      </c>
    </row>
    <row r="7" ht="35" customHeight="1">
      <c r="A7" s="22" t="inlineStr">
        <is>
          <t>Programme rachat / solidité actio. réf.</t>
        </is>
      </c>
      <c r="B7" s="23" t="inlineStr">
        <is>
          <t>10%</t>
        </is>
      </c>
      <c r="C7" s="24" t="inlineStr">
        <is>
          <t>Rachat actif + actio. réf. &gt; 60%</t>
        </is>
      </c>
      <c r="D7" s="25" t="inlineStr">
        <is>
          <t>Actio. réf. &gt; 50%</t>
        </is>
      </c>
      <c r="E7" s="26" t="inlineStr">
        <is>
          <t>Actio. réf. 40-50%</t>
        </is>
      </c>
      <c r="F7" s="27" t="inlineStr">
        <is>
          <t>Actio. réf. &lt; 40% + pas de rachat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0" customWidth="1" min="4" max="4"/>
  </cols>
  <sheetData>
    <row r="1" ht="28" customHeight="1">
      <c r="A1" s="20" t="inlineStr">
        <is>
          <t>RÉSUMÉ STATISTIQUE PAR NIVEAU DE RISQUE</t>
        </is>
      </c>
    </row>
    <row r="2" ht="25" customHeight="1">
      <c r="A2" s="30" t="inlineStr">
        <is>
          <t>Niveau de Risque</t>
        </is>
      </c>
      <c r="B2" s="30" t="inlineStr">
        <is>
          <t>Nb Sociétés</t>
        </is>
      </c>
      <c r="C2" s="30" t="inlineStr">
        <is>
          <t>% du Total</t>
        </is>
      </c>
      <c r="D2" s="30" t="inlineStr">
        <is>
          <t>Couleur Indicative</t>
        </is>
      </c>
    </row>
    <row r="3" ht="22" customHeight="1">
      <c r="A3" s="31" t="inlineStr">
        <is>
          <t>TRÈS FAIBLE</t>
        </is>
      </c>
      <c r="B3" s="32" t="n">
        <v>15</v>
      </c>
      <c r="C3" s="33">
        <f>B3/B8*100</f>
        <v/>
      </c>
      <c r="D3" s="34" t="inlineStr">
        <is>
          <t>▮▮▮</t>
        </is>
      </c>
    </row>
    <row r="4" ht="22" customHeight="1">
      <c r="A4" s="35" t="inlineStr">
        <is>
          <t>FAIBLE</t>
        </is>
      </c>
      <c r="B4" s="32" t="n">
        <v>4</v>
      </c>
      <c r="C4" s="33">
        <f>B4/B8*100</f>
        <v/>
      </c>
      <c r="D4" s="36" t="inlineStr">
        <is>
          <t>▮▮▮</t>
        </is>
      </c>
    </row>
    <row r="5" ht="22" customHeight="1">
      <c r="A5" s="37" t="inlineStr">
        <is>
          <t>MODÉRÉ</t>
        </is>
      </c>
      <c r="B5" s="32" t="n">
        <v>4</v>
      </c>
      <c r="C5" s="33">
        <f>B5/B8*100</f>
        <v/>
      </c>
      <c r="D5" s="38" t="inlineStr">
        <is>
          <t>▮▮▮</t>
        </is>
      </c>
    </row>
    <row r="6" ht="22" customHeight="1">
      <c r="A6" s="39" t="inlineStr">
        <is>
          <t>ÉLEVÉ</t>
        </is>
      </c>
      <c r="B6" s="32" t="n">
        <v>3</v>
      </c>
      <c r="C6" s="33">
        <f>B6/B8*100</f>
        <v/>
      </c>
      <c r="D6" s="40" t="inlineStr">
        <is>
          <t>▮▮▮</t>
        </is>
      </c>
    </row>
    <row r="7" ht="22" customHeight="1">
      <c r="A7" s="41" t="inlineStr">
        <is>
          <t>TRÈS ÉLEVÉ</t>
        </is>
      </c>
      <c r="B7" s="32" t="n">
        <v>4</v>
      </c>
      <c r="C7" s="33">
        <f>B7/B8*100</f>
        <v/>
      </c>
      <c r="D7" s="42" t="inlineStr">
        <is>
          <t>▮▮▮</t>
        </is>
      </c>
    </row>
    <row r="8">
      <c r="A8" s="43" t="inlineStr">
        <is>
          <t>TOTAL</t>
        </is>
      </c>
      <c r="B8" s="44">
        <f>SUM(B3:B7)</f>
        <v/>
      </c>
      <c r="C8" s="45" t="n"/>
      <c r="D8" s="45" t="n"/>
    </row>
    <row r="10">
      <c r="A10" s="46" t="inlineStr">
        <is>
          <t>NOTES MÉTHODOLOGIQUES</t>
        </is>
      </c>
    </row>
    <row r="11" ht="20" customHeight="1">
      <c r="A11" s="47" t="inlineStr">
        <is>
          <t>1. Données extraites des Bulletins de la Cote BVC, Publications des Émetteurs et bases de capitalisation (2022-2025).</t>
        </is>
      </c>
    </row>
    <row r="12" ht="20" customHeight="1">
      <c r="A12" s="47" t="inlineStr">
        <is>
          <t>2. Références AMMC : notes d'opération, prospectus d'émission et programme de rachat disponibles sur ammc.ma.</t>
        </is>
      </c>
    </row>
    <row r="13" ht="20" customHeight="1">
      <c r="A13" s="47" t="inlineStr">
        <is>
          <t>3. Le score composite intègre 5 critères pondérés : dilution cumulée (30%), fréquence des AC (25%), gearing (20%), variation BPA (15%), gouvernance (10%).</t>
        </is>
      </c>
    </row>
    <row r="14" ht="20" customHeight="1">
      <c r="A14" s="47" t="inlineStr">
        <is>
          <t>4. Les données d'augmentation de capital supprimant le DPS sont pénalisées (risque dilutif maximal pour l'actionnaire).</t>
        </is>
      </c>
    </row>
    <row r="15" ht="20" customHeight="1">
      <c r="A15" s="47" t="inlineStr">
        <is>
          <t>5. Ce dataset est destiné à alimenter des algorithmes de classification supervisée (Random Forest, SVM, XGBoost) ou non supervisée (K-Means, CAH).</t>
        </is>
      </c>
    </row>
  </sheetData>
  <mergeCells count="7">
    <mergeCell ref="A1:D1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2026-03-12T13:41:15Z</dcterms:created>
  <dcterms:modified xmlns:dcterms="http://purl.org/dc/terms/" xmlns:xsi="http://www.w3.org/2001/XMLSchema-instance" xsi:type="dcterms:W3CDTF">2026-03-12T13:41:15Z</dcterms:modified>
</cp:coreProperties>
</file>